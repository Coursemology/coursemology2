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di/Documents/evaluator-images/python/python3.14/tests/"/>
    </mc:Choice>
  </mc:AlternateContent>
  <xr:revisionPtr revIDLastSave="0" documentId="13_ncr:1_{5EB34A6E-DB0C-2343-94F2-DBE001664F9A}" xr6:coauthVersionLast="47" xr6:coauthVersionMax="47" xr10:uidLastSave="{00000000-0000-0000-0000-000000000000}"/>
  <bookViews>
    <workbookView xWindow="100" yWindow="1680" windowWidth="25440" windowHeight="13860" xr2:uid="{21B0A916-F62E-E84F-92A5-E1E1E57DAAF9}"/>
  </bookViews>
  <sheets>
    <sheet name="Sheet1" sheetId="1" r:id="rId1"/>
    <sheet name="new sheet" sheetId="2" r:id="rId2"/>
    <sheet name="newer sheet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6" i="1" l="1"/>
  <c r="E27" i="1"/>
  <c r="E26" i="1"/>
  <c r="V11" i="1"/>
  <c r="I7" i="1" l="1"/>
  <c r="I6" i="1"/>
  <c r="I5" i="1"/>
  <c r="I4" i="1"/>
  <c r="I3" i="1"/>
  <c r="E18" i="1" l="1"/>
  <c r="E19" i="1"/>
  <c r="E17" i="1"/>
  <c r="G16" i="1"/>
  <c r="G15" i="1"/>
  <c r="E25" i="1"/>
  <c r="E24" i="1"/>
  <c r="E23" i="1"/>
  <c r="E22" i="1"/>
  <c r="E21" i="1" a="1"/>
  <c r="E21" i="1" s="1"/>
  <c r="E20" i="1"/>
  <c r="J7" i="1"/>
  <c r="J5" i="1"/>
  <c r="J4" i="1"/>
  <c r="J3" i="1"/>
  <c r="J1" i="1"/>
  <c r="W7" i="1"/>
  <c r="X6" i="1"/>
  <c r="Y4" i="1"/>
  <c r="S11" i="1"/>
  <c r="Y11" i="1" s="1"/>
  <c r="S10" i="1"/>
  <c r="Y10" i="1" s="1"/>
  <c r="S9" i="1"/>
  <c r="Y9" i="1" s="1"/>
  <c r="S8" i="1"/>
  <c r="Y8" i="1" s="1"/>
  <c r="S7" i="1"/>
  <c r="Y7" i="1" s="1"/>
  <c r="S6" i="1"/>
  <c r="Y6" i="1" s="1"/>
  <c r="S5" i="1"/>
  <c r="Y5" i="1" s="1"/>
  <c r="S4" i="1"/>
  <c r="S3" i="1"/>
  <c r="Y3" i="1" s="1"/>
  <c r="N11" i="1"/>
  <c r="T11" i="1" s="1"/>
  <c r="O11" i="1"/>
  <c r="P11" i="1"/>
  <c r="Q11" i="1"/>
  <c r="W11" i="1" s="1"/>
  <c r="R11" i="1"/>
  <c r="X11" i="1" s="1"/>
  <c r="N10" i="1"/>
  <c r="O10" i="1"/>
  <c r="P10" i="1"/>
  <c r="V10" i="1" s="1"/>
  <c r="Q10" i="1"/>
  <c r="W10" i="1" s="1"/>
  <c r="R10" i="1"/>
  <c r="X10" i="1" s="1"/>
  <c r="N9" i="1"/>
  <c r="O9" i="1"/>
  <c r="P9" i="1"/>
  <c r="Q9" i="1"/>
  <c r="R9" i="1"/>
  <c r="X9" i="1" s="1"/>
  <c r="R8" i="1"/>
  <c r="Q8" i="1"/>
  <c r="P8" i="1"/>
  <c r="O8" i="1"/>
  <c r="N8" i="1"/>
  <c r="T8" i="1" s="1"/>
  <c r="N7" i="1"/>
  <c r="O7" i="1"/>
  <c r="P7" i="1"/>
  <c r="Q7" i="1"/>
  <c r="R7" i="1"/>
  <c r="X7" i="1" s="1"/>
  <c r="R6" i="1"/>
  <c r="Q6" i="1"/>
  <c r="W6" i="1" s="1"/>
  <c r="P6" i="1"/>
  <c r="O6" i="1"/>
  <c r="N6" i="1"/>
  <c r="R5" i="1"/>
  <c r="Q5" i="1"/>
  <c r="P5" i="1"/>
  <c r="V5" i="1" s="1"/>
  <c r="O5" i="1"/>
  <c r="N5" i="1"/>
  <c r="T5" i="1" s="1"/>
  <c r="R4" i="1"/>
  <c r="X4" i="1" s="1"/>
  <c r="Q4" i="1"/>
  <c r="W4" i="1" s="1"/>
  <c r="P4" i="1"/>
  <c r="O4" i="1"/>
  <c r="R3" i="1"/>
  <c r="X3" i="1" s="1"/>
  <c r="Q3" i="1"/>
  <c r="W3" i="1" s="1"/>
  <c r="P3" i="1"/>
  <c r="O3" i="1"/>
  <c r="N3" i="1"/>
  <c r="N4" i="1"/>
  <c r="F12" i="1" l="1"/>
  <c r="F11" i="1"/>
  <c r="F10" i="1"/>
  <c r="F9" i="1"/>
  <c r="F8" i="1"/>
  <c r="F7" i="1"/>
  <c r="F6" i="1"/>
  <c r="F5" i="1"/>
  <c r="F4" i="1"/>
  <c r="F3" i="1"/>
  <c r="T10" i="1" l="1"/>
  <c r="T9" i="1"/>
  <c r="T7" i="1"/>
  <c r="T6" i="1"/>
  <c r="T4" i="1"/>
  <c r="T3" i="1"/>
  <c r="V7" i="1"/>
  <c r="V6" i="1"/>
  <c r="V9" i="1"/>
  <c r="V4" i="1"/>
  <c r="V8" i="1"/>
  <c r="V3" i="1"/>
  <c r="W5" i="1"/>
  <c r="W9" i="1"/>
  <c r="W8" i="1"/>
  <c r="X5" i="1"/>
  <c r="X8" i="1"/>
  <c r="U11" i="1"/>
  <c r="U3" i="1"/>
  <c r="U9" i="1"/>
  <c r="U10" i="1"/>
  <c r="U7" i="1"/>
  <c r="U8" i="1"/>
  <c r="U5" i="1"/>
  <c r="U4" i="1"/>
  <c r="Z10" i="1" l="1"/>
  <c r="Z8" i="1"/>
  <c r="Z5" i="1"/>
  <c r="Z9" i="1"/>
  <c r="Z6" i="1"/>
  <c r="Z3" i="1"/>
  <c r="Z7" i="1"/>
  <c r="Z4" i="1"/>
  <c r="Z11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<sst xmlns="http://schemas.openxmlformats.org/spreadsheetml/2006/main" count="83" uniqueCount="61">
  <si>
    <t>Element</t>
  </si>
  <si>
    <t>Isotope</t>
  </si>
  <si>
    <t>Abundance</t>
  </si>
  <si>
    <t>Atm. Weight</t>
  </si>
  <si>
    <t>Hydrogen</t>
  </si>
  <si>
    <t>Carbon</t>
  </si>
  <si>
    <t>Oxygen</t>
  </si>
  <si>
    <t>Molecule</t>
  </si>
  <si>
    <t>Chem. Formula</t>
  </si>
  <si>
    <t>Water</t>
  </si>
  <si>
    <t>HHO</t>
  </si>
  <si>
    <t>Mass</t>
  </si>
  <si>
    <t>H</t>
  </si>
  <si>
    <t>C</t>
  </si>
  <si>
    <t>Symbol</t>
  </si>
  <si>
    <t>O</t>
  </si>
  <si>
    <t>Sodium</t>
  </si>
  <si>
    <t>Na</t>
  </si>
  <si>
    <t>Chlorine</t>
  </si>
  <si>
    <t>Cl</t>
  </si>
  <si>
    <t>Sugar</t>
  </si>
  <si>
    <t>CCCCCCHHHHHHHHHHHHOOOOOO</t>
  </si>
  <si>
    <t>Total</t>
  </si>
  <si>
    <t>Atm. Count</t>
  </si>
  <si>
    <t>Mol. Mass</t>
  </si>
  <si>
    <t>Salt</t>
  </si>
  <si>
    <t>Alcohol</t>
  </si>
  <si>
    <t>CHHHCHHOH</t>
  </si>
  <si>
    <t>NaCl</t>
  </si>
  <si>
    <t>Vinegar</t>
  </si>
  <si>
    <t>Bleach</t>
  </si>
  <si>
    <t>NaClO</t>
  </si>
  <si>
    <t>CHHHCOOH</t>
  </si>
  <si>
    <t>Baking soda</t>
  </si>
  <si>
    <t>NaHCOOO</t>
  </si>
  <si>
    <t>Natural gas</t>
  </si>
  <si>
    <t>CHHHH</t>
  </si>
  <si>
    <t>Rust</t>
  </si>
  <si>
    <t>FeOOO</t>
  </si>
  <si>
    <t>Fe</t>
  </si>
  <si>
    <t xml:space="preserve"> </t>
  </si>
  <si>
    <t>Source: https://physics.nist.gov/cgi-bin/Compositions/stand_alone.pl</t>
  </si>
  <si>
    <t>Days since accessed</t>
  </si>
  <si>
    <t>Accessed</t>
  </si>
  <si>
    <t>Sum. Abundance</t>
  </si>
  <si>
    <t>Misc. tests</t>
  </si>
  <si>
    <t>Mixing simple values and formula values</t>
  </si>
  <si>
    <t>Mixing simple, formula, and undefined values</t>
  </si>
  <si>
    <t>Division by zero error</t>
  </si>
  <si>
    <t>Arithmetic overflow</t>
  </si>
  <si>
    <t>Quotient of integer division</t>
  </si>
  <si>
    <t>Remainder of integer division</t>
  </si>
  <si>
    <t>Invalid formula (invalid name)</t>
  </si>
  <si>
    <t>Value error (type error)</t>
  </si>
  <si>
    <t>Null error</t>
  </si>
  <si>
    <t>Ref error</t>
  </si>
  <si>
    <t>Cross-sheet formula</t>
  </si>
  <si>
    <t>Rand</t>
  </si>
  <si>
    <t>Randbetween</t>
  </si>
  <si>
    <t>Literal formula</t>
  </si>
  <si>
    <t>=D10+D11+D12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</si>
</sst>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ABDD6-9F2D-6742-AE34-FDDAB26CE910}">
  <dimension ref="A1:Z28"/>
  <sheetViews>
    <sheetView tabSelected="1" topLeftCell="A5" workbookViewId="0">
      <selection activeCell="E28" sqref="E28"/>
    </sheetView>
  </sheetViews>
  <sheetFormatPr baseColWidth="10" defaultRowHeight="16" x14ac:dyDescent="0.2"/>
  <cols>
    <col min="9" max="9" width="10.83203125" customWidth="1"/>
    <col min="10" max="10" width="14.5" bestFit="1" customWidth="1"/>
    <col min="12" max="12" width="13.5" bestFit="1" customWidth="1"/>
    <col min="13" max="13" width="33.83203125" bestFit="1" customWidth="1"/>
    <col min="14" max="19" width="4.1640625" customWidth="1"/>
    <col min="20" max="21" width="7" customWidth="1"/>
    <col min="22" max="22" width="17.6640625" customWidth="1"/>
    <col min="23" max="26" width="7" customWidth="1"/>
  </cols>
  <sheetData>
    <row r="1" spans="1:26" x14ac:dyDescent="0.2">
      <c r="A1" t="s">
        <v>41</v>
      </c>
      <c r="G1" t="s">
        <v>43</v>
      </c>
      <c r="H1" s="1">
        <v>46153</v>
      </c>
      <c r="I1" t="s">
        <v>42</v>
      </c>
      <c r="J1">
        <f ca="1">_xlfn.DAYS(TODAY(),H1)</f>
        <v>21</v>
      </c>
      <c r="L1" s="1"/>
      <c r="N1" t="s">
        <v>23</v>
      </c>
      <c r="T1" t="s">
        <v>24</v>
      </c>
    </row>
    <row r="2" spans="1:26" x14ac:dyDescent="0.2">
      <c r="A2" t="s">
        <v>0</v>
      </c>
      <c r="B2" t="s">
        <v>14</v>
      </c>
      <c r="C2" t="s">
        <v>1</v>
      </c>
      <c r="D2" t="s">
        <v>11</v>
      </c>
      <c r="E2" t="s">
        <v>2</v>
      </c>
      <c r="H2" t="s">
        <v>0</v>
      </c>
      <c r="I2" t="s">
        <v>3</v>
      </c>
      <c r="J2" t="s">
        <v>44</v>
      </c>
      <c r="L2" t="s">
        <v>7</v>
      </c>
      <c r="M2" t="s">
        <v>8</v>
      </c>
      <c r="N2" t="s">
        <v>12</v>
      </c>
      <c r="O2" t="s">
        <v>13</v>
      </c>
      <c r="P2" t="s">
        <v>15</v>
      </c>
      <c r="Q2" t="s">
        <v>17</v>
      </c>
      <c r="R2" t="s">
        <v>19</v>
      </c>
      <c r="S2" t="s">
        <v>39</v>
      </c>
      <c r="T2" t="s">
        <v>12</v>
      </c>
      <c r="U2" t="s">
        <v>13</v>
      </c>
      <c r="V2" t="s">
        <v>15</v>
      </c>
      <c r="W2" t="s">
        <v>17</v>
      </c>
      <c r="X2" t="s">
        <v>19</v>
      </c>
      <c r="Y2" t="s">
        <v>39</v>
      </c>
      <c r="Z2" t="s">
        <v>22</v>
      </c>
    </row>
    <row r="3" spans="1:26" x14ac:dyDescent="0.2">
      <c r="A3" t="s">
        <v>4</v>
      </c>
      <c r="B3" t="s">
        <v>12</v>
      </c>
      <c r="C3">
        <v>1</v>
      </c>
      <c r="D3">
        <v>1.007825</v>
      </c>
      <c r="E3">
        <v>0.99988500000000002</v>
      </c>
      <c r="F3">
        <f>E3*D3</f>
        <v>1.007709100125</v>
      </c>
      <c r="H3" t="s">
        <v>12</v>
      </c>
      <c r="I3">
        <f>SUMIF(B$3:B$12,H3,F$3:F$12)</f>
        <v>1.0079407218550001</v>
      </c>
      <c r="J3">
        <f>SUM(E3:E4)</f>
        <v>1</v>
      </c>
      <c r="L3" t="s">
        <v>9</v>
      </c>
      <c r="M3" t="s">
        <v>10</v>
      </c>
      <c r="N3">
        <f t="shared" ref="N3:S11" si="0">(LEN($M3)-LEN(SUBSTITUTE($M3,N$2,""))) / LEN(N$2)</f>
        <v>2</v>
      </c>
      <c r="O3">
        <f t="shared" si="0"/>
        <v>0</v>
      </c>
      <c r="P3">
        <f t="shared" si="0"/>
        <v>1</v>
      </c>
      <c r="Q3">
        <f t="shared" si="0"/>
        <v>0</v>
      </c>
      <c r="R3">
        <f t="shared" si="0"/>
        <v>0</v>
      </c>
      <c r="S3">
        <f t="shared" si="0"/>
        <v>0</v>
      </c>
      <c r="T3">
        <f t="shared" ref="T3:T11" si="1">N3*IF(N3=0,0,VLOOKUP(T$2, $H$3:$I$7, 2, FALSE))</f>
        <v>2.0158814437100001</v>
      </c>
      <c r="U3">
        <f>(O3-R3)*VLOOKUP(U$2, $H$3:$I$7, 2, FALSE)</f>
        <v>0</v>
      </c>
      <c r="V3">
        <f t="shared" ref="V3:V10" si="2">P3*IF(P3=0,0,VLOOKUP(V$2, $H$3:$I$7, 2, FALSE))</f>
        <v>15.999405304710001</v>
      </c>
      <c r="W3">
        <f t="shared" ref="W3:W11" si="3">Q3*IF(Q3=0,0,VLOOKUP(W$2, $H$3:$I$7, 2, FALSE))</f>
        <v>0</v>
      </c>
      <c r="X3">
        <f t="shared" ref="X3:X11" si="4">R3*IF(R3=0,0,VLOOKUP(X$2, $H$3:$I$7, 2, FALSE))</f>
        <v>0</v>
      </c>
      <c r="Y3">
        <f>S3*IF(S3=0,0,VLOOKUP(Y$2, $H$3:$I$7, 2, FALSE))</f>
        <v>0</v>
      </c>
      <c r="Z3">
        <f>SUM(T3:X3)</f>
        <v>18.015286748419999</v>
      </c>
    </row>
    <row r="4" spans="1:26" x14ac:dyDescent="0.2">
      <c r="B4" t="s">
        <v>12</v>
      </c>
      <c r="C4">
        <v>2</v>
      </c>
      <c r="D4">
        <v>2.0141019999999998</v>
      </c>
      <c r="E4">
        <v>1.15E-4</v>
      </c>
      <c r="F4">
        <f>E4*D4</f>
        <v>2.3162172999999998E-4</v>
      </c>
      <c r="H4" t="s">
        <v>13</v>
      </c>
      <c r="I4">
        <f t="shared" ref="I4:I7" si="5">SUMIF(B$3:B$12,H4,F$3:F$12)</f>
        <v>12.010735898499998</v>
      </c>
      <c r="J4">
        <f>SUM(E5:E6)</f>
        <v>1</v>
      </c>
      <c r="L4" t="s">
        <v>20</v>
      </c>
      <c r="M4" t="s">
        <v>21</v>
      </c>
      <c r="N4">
        <f t="shared" ref="N4:N11" si="6">(LEN($M4)-LEN(SUBSTITUTE($M4,N$2,""))) / LEN(N$2)</f>
        <v>12</v>
      </c>
      <c r="O4">
        <f t="shared" si="0"/>
        <v>6</v>
      </c>
      <c r="P4">
        <f t="shared" si="0"/>
        <v>6</v>
      </c>
      <c r="Q4">
        <f t="shared" si="0"/>
        <v>0</v>
      </c>
      <c r="R4">
        <f t="shared" si="0"/>
        <v>0</v>
      </c>
      <c r="S4">
        <f t="shared" si="0"/>
        <v>0</v>
      </c>
      <c r="T4">
        <f t="shared" si="1"/>
        <v>12.09528866226</v>
      </c>
      <c r="U4">
        <f t="shared" ref="U4" si="7">(O4-R4)*VLOOKUP(U$2, $H$3:$I$7, 2, FALSE)</f>
        <v>72.064415390999983</v>
      </c>
      <c r="V4">
        <f t="shared" si="2"/>
        <v>95.99643182826</v>
      </c>
      <c r="W4">
        <f t="shared" si="3"/>
        <v>0</v>
      </c>
      <c r="X4">
        <f t="shared" si="4"/>
        <v>0</v>
      </c>
      <c r="Y4">
        <f t="shared" ref="Y4:Y10" si="8">S4*IF(S4=0,0,VLOOKUP(Y$2, $H$3:$I$7, 2, FALSE))</f>
        <v>0</v>
      </c>
      <c r="Z4">
        <f>SUM(T4:X4)</f>
        <v>180.15613588151999</v>
      </c>
    </row>
    <row r="5" spans="1:26" x14ac:dyDescent="0.2">
      <c r="A5" t="s">
        <v>5</v>
      </c>
      <c r="B5" t="s">
        <v>13</v>
      </c>
      <c r="C5">
        <v>12</v>
      </c>
      <c r="D5">
        <v>12</v>
      </c>
      <c r="E5">
        <v>0.98929999999999996</v>
      </c>
      <c r="F5">
        <f t="shared" ref="F5:F12" si="9">E5*D5</f>
        <v>11.871599999999999</v>
      </c>
      <c r="H5" t="s">
        <v>15</v>
      </c>
      <c r="I5">
        <f t="shared" si="5"/>
        <v>15.999405304710001</v>
      </c>
      <c r="J5">
        <f>SUM(E7:E9)</f>
        <v>1</v>
      </c>
      <c r="L5" t="s">
        <v>25</v>
      </c>
      <c r="M5" t="s">
        <v>28</v>
      </c>
      <c r="N5">
        <f t="shared" si="6"/>
        <v>0</v>
      </c>
      <c r="O5">
        <f t="shared" si="0"/>
        <v>1</v>
      </c>
      <c r="P5">
        <f t="shared" si="0"/>
        <v>0</v>
      </c>
      <c r="Q5">
        <f t="shared" si="0"/>
        <v>1</v>
      </c>
      <c r="R5">
        <f t="shared" si="0"/>
        <v>1</v>
      </c>
      <c r="S5">
        <f t="shared" si="0"/>
        <v>0</v>
      </c>
      <c r="T5">
        <f t="shared" si="1"/>
        <v>0</v>
      </c>
      <c r="U5">
        <f>(O5-R5)*VLOOKUP(U$2, $H$3:$I$7, 2, FALSE)</f>
        <v>0</v>
      </c>
      <c r="V5">
        <f t="shared" si="2"/>
        <v>0</v>
      </c>
      <c r="W5">
        <f t="shared" si="3"/>
        <v>22.989768999999999</v>
      </c>
      <c r="X5">
        <f t="shared" si="4"/>
        <v>35.438393920000003</v>
      </c>
      <c r="Y5">
        <f t="shared" si="8"/>
        <v>0</v>
      </c>
      <c r="Z5">
        <f t="shared" ref="Z5:Z7" si="10">SUM(T5:X5)</f>
        <v>58.428162920000005</v>
      </c>
    </row>
    <row r="6" spans="1:26" x14ac:dyDescent="0.2">
      <c r="B6" t="s">
        <v>13</v>
      </c>
      <c r="C6">
        <v>13</v>
      </c>
      <c r="D6">
        <v>13.003355000000001</v>
      </c>
      <c r="E6">
        <v>1.0699999999999999E-2</v>
      </c>
      <c r="F6">
        <f t="shared" si="9"/>
        <v>0.13913589849999999</v>
      </c>
      <c r="H6" t="s">
        <v>17</v>
      </c>
      <c r="I6">
        <f t="shared" si="5"/>
        <v>22.989768999999999</v>
      </c>
      <c r="J6">
        <v>1</v>
      </c>
      <c r="L6" t="s">
        <v>26</v>
      </c>
      <c r="M6" t="s">
        <v>27</v>
      </c>
      <c r="N6">
        <f t="shared" si="6"/>
        <v>6</v>
      </c>
      <c r="O6">
        <f t="shared" si="0"/>
        <v>2</v>
      </c>
      <c r="P6">
        <f t="shared" si="0"/>
        <v>1</v>
      </c>
      <c r="Q6">
        <f t="shared" si="0"/>
        <v>0</v>
      </c>
      <c r="R6">
        <f t="shared" si="0"/>
        <v>0</v>
      </c>
      <c r="S6">
        <f t="shared" si="0"/>
        <v>0</v>
      </c>
      <c r="T6">
        <f t="shared" si="1"/>
        <v>6.0476443311299999</v>
      </c>
      <c r="U6">
        <f>(O6-R6)*VLOOKUP(U$2, $H$3:$I$7, 2, FALSE)</f>
        <v>24.021471796999997</v>
      </c>
      <c r="V6">
        <f t="shared" si="2"/>
        <v>15.999405304710001</v>
      </c>
      <c r="W6">
        <f t="shared" si="3"/>
        <v>0</v>
      </c>
      <c r="X6">
        <f t="shared" si="4"/>
        <v>0</v>
      </c>
      <c r="Y6">
        <f t="shared" si="8"/>
        <v>0</v>
      </c>
      <c r="Z6">
        <f t="shared" si="10"/>
        <v>46.068521432840001</v>
      </c>
    </row>
    <row r="7" spans="1:26" x14ac:dyDescent="0.2">
      <c r="A7" t="s">
        <v>6</v>
      </c>
      <c r="B7" t="s">
        <v>15</v>
      </c>
      <c r="C7">
        <v>16</v>
      </c>
      <c r="D7">
        <v>15.994915000000001</v>
      </c>
      <c r="E7">
        <v>0.99756999999999996</v>
      </c>
      <c r="F7">
        <f t="shared" si="9"/>
        <v>15.95604735655</v>
      </c>
      <c r="H7" t="s">
        <v>19</v>
      </c>
      <c r="I7">
        <f t="shared" si="5"/>
        <v>35.438393920000003</v>
      </c>
      <c r="J7">
        <f>SUM(E11:E12)</f>
        <v>1</v>
      </c>
      <c r="L7" t="s">
        <v>29</v>
      </c>
      <c r="M7" t="s">
        <v>32</v>
      </c>
      <c r="N7">
        <f t="shared" si="6"/>
        <v>4</v>
      </c>
      <c r="O7">
        <f t="shared" si="0"/>
        <v>2</v>
      </c>
      <c r="P7">
        <f t="shared" si="0"/>
        <v>2</v>
      </c>
      <c r="Q7">
        <f t="shared" si="0"/>
        <v>0</v>
      </c>
      <c r="R7">
        <f t="shared" si="0"/>
        <v>0</v>
      </c>
      <c r="S7">
        <f t="shared" si="0"/>
        <v>0</v>
      </c>
      <c r="T7">
        <f t="shared" si="1"/>
        <v>4.0317628874200002</v>
      </c>
      <c r="U7">
        <f t="shared" ref="U7" si="11">(O7-R7)*VLOOKUP(U$2, $H$3:$I$7, 2, FALSE)</f>
        <v>24.021471796999997</v>
      </c>
      <c r="V7">
        <f t="shared" si="2"/>
        <v>31.998810609420001</v>
      </c>
      <c r="W7">
        <f t="shared" si="3"/>
        <v>0</v>
      </c>
      <c r="X7">
        <f t="shared" si="4"/>
        <v>0</v>
      </c>
      <c r="Y7">
        <f t="shared" si="8"/>
        <v>0</v>
      </c>
      <c r="Z7">
        <f t="shared" si="10"/>
        <v>60.052045293839996</v>
      </c>
    </row>
    <row r="8" spans="1:26" x14ac:dyDescent="0.2">
      <c r="B8" t="s">
        <v>15</v>
      </c>
      <c r="C8">
        <v>17</v>
      </c>
      <c r="D8">
        <v>16.999131999999999</v>
      </c>
      <c r="E8">
        <v>3.8000000000000002E-4</v>
      </c>
      <c r="F8">
        <f t="shared" si="9"/>
        <v>6.45967016E-3</v>
      </c>
      <c r="L8" t="s">
        <v>30</v>
      </c>
      <c r="M8" t="s">
        <v>31</v>
      </c>
      <c r="N8">
        <f t="shared" si="6"/>
        <v>0</v>
      </c>
      <c r="O8">
        <f t="shared" si="0"/>
        <v>1</v>
      </c>
      <c r="P8">
        <f t="shared" si="0"/>
        <v>1</v>
      </c>
      <c r="Q8">
        <f t="shared" si="0"/>
        <v>1</v>
      </c>
      <c r="R8">
        <f t="shared" si="0"/>
        <v>1</v>
      </c>
      <c r="S8">
        <f t="shared" si="0"/>
        <v>0</v>
      </c>
      <c r="T8">
        <f t="shared" si="1"/>
        <v>0</v>
      </c>
      <c r="U8">
        <f t="shared" ref="U8:U11" si="12">(O8-R8)*VLOOKUP(U$2, $H$3:$I$7, 2, FALSE)</f>
        <v>0</v>
      </c>
      <c r="V8">
        <f t="shared" si="2"/>
        <v>15.999405304710001</v>
      </c>
      <c r="W8">
        <f t="shared" si="3"/>
        <v>22.989768999999999</v>
      </c>
      <c r="X8">
        <f t="shared" si="4"/>
        <v>35.438393920000003</v>
      </c>
      <c r="Y8">
        <f t="shared" si="8"/>
        <v>0</v>
      </c>
      <c r="Z8">
        <f t="shared" ref="Z8:Z9" si="13">SUM(T8:X8)</f>
        <v>74.427568224710001</v>
      </c>
    </row>
    <row r="9" spans="1:26" x14ac:dyDescent="0.2">
      <c r="B9" t="s">
        <v>15</v>
      </c>
      <c r="C9">
        <v>18</v>
      </c>
      <c r="D9">
        <v>17.99916</v>
      </c>
      <c r="E9">
        <v>2.0500000000000002E-3</v>
      </c>
      <c r="F9">
        <f t="shared" si="9"/>
        <v>3.6898278E-2</v>
      </c>
      <c r="L9" t="s">
        <v>33</v>
      </c>
      <c r="M9" t="s">
        <v>34</v>
      </c>
      <c r="N9">
        <f t="shared" si="6"/>
        <v>1</v>
      </c>
      <c r="O9">
        <f t="shared" si="0"/>
        <v>1</v>
      </c>
      <c r="P9">
        <f t="shared" si="0"/>
        <v>3</v>
      </c>
      <c r="Q9">
        <f t="shared" si="0"/>
        <v>1</v>
      </c>
      <c r="R9">
        <f t="shared" si="0"/>
        <v>0</v>
      </c>
      <c r="S9">
        <f t="shared" si="0"/>
        <v>0</v>
      </c>
      <c r="T9">
        <f t="shared" si="1"/>
        <v>1.0079407218550001</v>
      </c>
      <c r="U9">
        <f t="shared" si="12"/>
        <v>12.010735898499998</v>
      </c>
      <c r="V9">
        <f t="shared" si="2"/>
        <v>47.99821591413</v>
      </c>
      <c r="W9">
        <f t="shared" si="3"/>
        <v>22.989768999999999</v>
      </c>
      <c r="X9">
        <f t="shared" si="4"/>
        <v>0</v>
      </c>
      <c r="Y9">
        <f t="shared" si="8"/>
        <v>0</v>
      </c>
      <c r="Z9">
        <f t="shared" si="13"/>
        <v>84.006661534484991</v>
      </c>
    </row>
    <row r="10" spans="1:26" x14ac:dyDescent="0.2">
      <c r="A10" t="s">
        <v>16</v>
      </c>
      <c r="B10" t="s">
        <v>17</v>
      </c>
      <c r="C10">
        <v>23</v>
      </c>
      <c r="D10">
        <v>22.989768999999999</v>
      </c>
      <c r="E10">
        <v>1</v>
      </c>
      <c r="F10">
        <f t="shared" si="9"/>
        <v>22.989768999999999</v>
      </c>
      <c r="L10" t="s">
        <v>35</v>
      </c>
      <c r="M10" t="s">
        <v>36</v>
      </c>
      <c r="N10">
        <f t="shared" si="6"/>
        <v>4</v>
      </c>
      <c r="O10">
        <f t="shared" si="0"/>
        <v>1</v>
      </c>
      <c r="P10">
        <f t="shared" si="0"/>
        <v>0</v>
      </c>
      <c r="Q10">
        <f t="shared" si="0"/>
        <v>0</v>
      </c>
      <c r="R10">
        <f t="shared" si="0"/>
        <v>0</v>
      </c>
      <c r="S10">
        <f t="shared" si="0"/>
        <v>0</v>
      </c>
      <c r="T10">
        <f t="shared" si="1"/>
        <v>4.0317628874200002</v>
      </c>
      <c r="U10">
        <f t="shared" si="12"/>
        <v>12.010735898499998</v>
      </c>
      <c r="V10">
        <f t="shared" si="2"/>
        <v>0</v>
      </c>
      <c r="W10">
        <f t="shared" si="3"/>
        <v>0</v>
      </c>
      <c r="X10">
        <f t="shared" si="4"/>
        <v>0</v>
      </c>
      <c r="Y10">
        <f t="shared" si="8"/>
        <v>0</v>
      </c>
      <c r="Z10">
        <f>SUM(T10:X10)</f>
        <v>16.042498785919999</v>
      </c>
    </row>
    <row r="11" spans="1:26" x14ac:dyDescent="0.2">
      <c r="A11" t="s">
        <v>18</v>
      </c>
      <c r="B11" t="s">
        <v>19</v>
      </c>
      <c r="C11">
        <v>35</v>
      </c>
      <c r="D11">
        <v>34.968853000000003</v>
      </c>
      <c r="E11">
        <v>0.75760000000000005</v>
      </c>
      <c r="F11">
        <f t="shared" si="9"/>
        <v>26.492403032800002</v>
      </c>
      <c r="L11" t="s">
        <v>37</v>
      </c>
      <c r="M11" t="s">
        <v>38</v>
      </c>
      <c r="N11">
        <f t="shared" si="6"/>
        <v>0</v>
      </c>
      <c r="O11">
        <f t="shared" si="0"/>
        <v>0</v>
      </c>
      <c r="P11">
        <f t="shared" si="0"/>
        <v>3</v>
      </c>
      <c r="Q11">
        <f t="shared" si="0"/>
        <v>0</v>
      </c>
      <c r="R11">
        <f t="shared" si="0"/>
        <v>0</v>
      </c>
      <c r="S11">
        <f t="shared" si="0"/>
        <v>1</v>
      </c>
      <c r="T11">
        <f t="shared" si="1"/>
        <v>0</v>
      </c>
      <c r="U11">
        <f t="shared" si="12"/>
        <v>0</v>
      </c>
      <c r="V11">
        <f>P11*IF(P11=0,0,VLOOKUP(V$2, $H$3:$I$7, 2, FALSE))</f>
        <v>47.99821591413</v>
      </c>
      <c r="W11">
        <f t="shared" si="3"/>
        <v>0</v>
      </c>
      <c r="X11">
        <f t="shared" si="4"/>
        <v>0</v>
      </c>
      <c r="Y11" t="e">
        <f>S11*IF(S11=0,0,VLOOKUP(Y$2, $H$3:$I$7, 2, FALSE))</f>
        <v>#N/A</v>
      </c>
      <c r="Z11" t="e">
        <f>SUM(T11:Y11)</f>
        <v>#N/A</v>
      </c>
    </row>
    <row r="12" spans="1:26" x14ac:dyDescent="0.2">
      <c r="B12" t="s">
        <v>19</v>
      </c>
      <c r="C12">
        <v>37</v>
      </c>
      <c r="D12">
        <v>36.905903000000002</v>
      </c>
      <c r="E12">
        <v>0.2424</v>
      </c>
      <c r="F12">
        <f t="shared" si="9"/>
        <v>8.9459908872000007</v>
      </c>
    </row>
    <row r="13" spans="1:26" x14ac:dyDescent="0.2">
      <c r="X13" t="s">
        <v>40</v>
      </c>
    </row>
    <row r="14" spans="1:26" x14ac:dyDescent="0.2">
      <c r="A14" t="s">
        <v>45</v>
      </c>
    </row>
    <row r="15" spans="1:26" x14ac:dyDescent="0.2">
      <c r="A15" t="s">
        <v>50</v>
      </c>
      <c r="E15">
        <v>22</v>
      </c>
      <c r="F15">
        <v>7</v>
      </c>
      <c r="G15">
        <f>QUOTIENT(E15,F15)</f>
        <v>3</v>
      </c>
    </row>
    <row r="16" spans="1:26" x14ac:dyDescent="0.2">
      <c r="A16" t="s">
        <v>51</v>
      </c>
      <c r="E16">
        <v>22</v>
      </c>
      <c r="F16">
        <v>7</v>
      </c>
      <c r="G16">
        <f>MOD(E16,F16)</f>
        <v>1</v>
      </c>
    </row>
    <row r="17" spans="1:5" x14ac:dyDescent="0.2">
      <c r="A17" t="s">
        <v>46</v>
      </c>
      <c r="E17">
        <f>SUM(J3:J7)</f>
        <v>5</v>
      </c>
    </row>
    <row r="18" spans="1:5" x14ac:dyDescent="0.2">
      <c r="A18" t="s">
        <v>47</v>
      </c>
      <c r="E18">
        <f>SUM(J3:J8) + J10 + SUM(J11:J12)</f>
        <v>5</v>
      </c>
    </row>
    <row r="19" spans="1:5" x14ac:dyDescent="0.2">
      <c r="A19" t="s">
        <v>56</v>
      </c>
      <c r="E19">
        <f>C3 + 'new sheet'!A1 + 'newer sheet'!A1</f>
        <v>6</v>
      </c>
    </row>
    <row r="20" spans="1:5" x14ac:dyDescent="0.2">
      <c r="A20" t="s">
        <v>48</v>
      </c>
      <c r="E20" t="e">
        <f>1/0</f>
        <v>#DIV/0!</v>
      </c>
    </row>
    <row r="21" spans="1:5" x14ac:dyDescent="0.2">
      <c r="A21" t="s">
        <v>52</v>
      </c>
      <c r="E21" t="e" cm="1">
        <f t="array" aca="1" ref="E21" ca="1">COUNTCELLS(H3:H7)</f>
        <v>#NAME?</v>
      </c>
    </row>
    <row r="22" spans="1:5" x14ac:dyDescent="0.2">
      <c r="A22" t="s">
        <v>53</v>
      </c>
      <c r="E22" t="e">
        <f>B12+C12</f>
        <v>#VALUE!</v>
      </c>
    </row>
    <row r="23" spans="1:5" x14ac:dyDescent="0.2">
      <c r="A23" t="s">
        <v>54</v>
      </c>
      <c r="E23" t="e">
        <f>SUM(E3:E12 F3:F12)</f>
        <v>#NULL!</v>
      </c>
    </row>
    <row r="24" spans="1:5" x14ac:dyDescent="0.2">
      <c r="A24" t="s">
        <v>49</v>
      </c>
      <c r="E24" t="e">
        <f>POWER(10,309)</f>
        <v>#NUM!</v>
      </c>
    </row>
    <row r="25" spans="1:5" x14ac:dyDescent="0.2">
      <c r="A25" t="s">
        <v>55</v>
      </c>
      <c r="E25" t="e">
        <f>VLOOKUP(U$2, $H$3:$I$7, 3, FALSE)</f>
        <v>#REF!</v>
      </c>
    </row>
    <row r="26" spans="1:5" x14ac:dyDescent="0.2">
      <c r="A26" t="s">
        <v>57</v>
      </c>
      <c r="E26">
        <f ca="1">RAND() * RAND()</f>
        <v>1.5751272922820917E-2</v>
      </c>
    </row>
    <row r="27" spans="1:5" x14ac:dyDescent="0.2">
      <c r="A27" t="s">
        <v>58</v>
      </c>
      <c r="E27">
        <f ca="1">RANDBETWEEN(-100, 100)</f>
        <v>-47</v>
      </c>
    </row>
    <row r="28" spans="1:5" x14ac:dyDescent="0.2">
      <c r="A28" t="s">
        <v>59</v>
      </c>
      <c r="E28" s="2" t="s"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17C22-A3AF-C646-9FE5-CC456A377CBA}">
  <dimension ref="A1"/>
  <sheetViews>
    <sheetView workbookViewId="0">
      <selection activeCell="B6" sqref="B6"/>
    </sheetView>
  </sheetViews>
  <sheetFormatPr baseColWidth="10" defaultRowHeight="16" x14ac:dyDescent="0.2"/>
  <sheetData>
    <row r="1" spans="1:1" x14ac:dyDescent="0.2">
      <c r="A1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44245-6B0B-4945-8C2F-0B90C68DF87B}">
  <dimension ref="A1"/>
  <sheetViews>
    <sheetView workbookViewId="0">
      <selection activeCell="E25" sqref="E25"/>
    </sheetView>
  </sheetViews>
  <sheetFormatPr baseColWidth="10" defaultRowHeight="16" x14ac:dyDescent="0.2"/>
  <sheetData>
    <row r="1" spans="1:1" x14ac:dyDescent="0.2">
      <c r="A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new sheet</vt:lpstr>
      <vt:lpstr>newer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 Suryanata Herwana</dc:creator>
  <cp:lastModifiedBy>Adi Suryanata Herwana</cp:lastModifiedBy>
  <dcterms:created xsi:type="dcterms:W3CDTF">2026-05-10T20:34:58Z</dcterms:created>
  <dcterms:modified xsi:type="dcterms:W3CDTF">2026-06-01T02:43:27Z</dcterms:modified>
</cp:coreProperties>
</file>